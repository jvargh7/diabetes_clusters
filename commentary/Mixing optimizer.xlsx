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filterPrivacy="1"/>
  <xr:revisionPtr revIDLastSave="0" documentId="13_ncr:1_{471C868A-9815-4B7A-9DFD-1961AE143A7D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definedNames>
    <definedName name="solver_adj" localSheetId="0" hidden="1">Sheet1!$J$2:$J$7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Sheet1!$J$3</definedName>
    <definedName name="solver_lhs2" localSheetId="0" hidden="1">Sheet1!$J$8</definedName>
    <definedName name="solver_lhs3" localSheetId="0" hidden="1">Sheet1!$J$8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Sheet1!$I$16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2</definedName>
    <definedName name="solver_rel3" localSheetId="0" hidden="1">2</definedName>
    <definedName name="solver_rhs1" localSheetId="0" hidden="1">0.2</definedName>
    <definedName name="solver_rhs2" localSheetId="0" hidden="1">1</definedName>
    <definedName name="solver_rhs3" localSheetId="0" hidden="1">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H2" i="1"/>
  <c r="G2" i="1"/>
  <c r="F2" i="1"/>
  <c r="I10" i="1" l="1"/>
  <c r="I12" i="1" s="1"/>
  <c r="K10" i="1"/>
  <c r="K12" i="1" s="1"/>
  <c r="J10" i="1"/>
  <c r="J12" i="1" s="1"/>
  <c r="I16" i="1" l="1"/>
</calcChain>
</file>

<file path=xl/sharedStrings.xml><?xml version="1.0" encoding="utf-8"?>
<sst xmlns="http://schemas.openxmlformats.org/spreadsheetml/2006/main" count="27" uniqueCount="15">
  <si>
    <t>c1</t>
  </si>
  <si>
    <t>c2</t>
  </si>
  <si>
    <t>c3</t>
  </si>
  <si>
    <t>c4</t>
  </si>
  <si>
    <t>c5</t>
  </si>
  <si>
    <t>c6</t>
  </si>
  <si>
    <t>R</t>
  </si>
  <si>
    <t>G</t>
  </si>
  <si>
    <t>B</t>
  </si>
  <si>
    <t>Scaled R</t>
  </si>
  <si>
    <t>Scaled G</t>
  </si>
  <si>
    <t>Scaled B</t>
  </si>
  <si>
    <t>Target 1</t>
  </si>
  <si>
    <t>w</t>
  </si>
  <si>
    <t>person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</si>
</sst>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L17" sqref="L17"/>
    </sheetView>
  </sheetViews>
  <sheetFormatPr defaultRowHeight="14.5" x14ac:dyDescent="0.35"/>
  <cols>
    <col min="6" max="8" width="13.453125" bestFit="1" customWidth="1"/>
  </cols>
  <sheetData>
    <row r="1" spans="1:11" x14ac:dyDescent="0.35">
      <c r="B1" t="s">
        <v>6</v>
      </c>
      <c r="C1" t="s">
        <v>7</v>
      </c>
      <c r="D1" t="s">
        <v>8</v>
      </c>
      <c r="F1" t="s">
        <v>9</v>
      </c>
      <c r="G1" t="s">
        <v>10</v>
      </c>
      <c r="H1" t="s">
        <v>11</v>
      </c>
      <c r="J1" t="s">
        <v>13</v>
      </c>
    </row>
    <row r="2" spans="1:11" x14ac:dyDescent="0.35">
      <c r="A2" t="s">
        <v>0</v>
      </c>
      <c r="B2">
        <v>255</v>
      </c>
      <c r="C2">
        <v>0</v>
      </c>
      <c r="D2">
        <v>0</v>
      </c>
      <c r="F2" s="1">
        <f>B2/255</f>
        <v>1</v>
      </c>
      <c r="G2" s="1">
        <f t="shared" ref="G2:G7" si="0">C2/255</f>
        <v>0</v>
      </c>
      <c r="H2" s="1">
        <f t="shared" ref="H2:H7" si="1">D2/255</f>
        <v>0</v>
      </c>
      <c r="J2" s="2">
        <v>0.6</v>
      </c>
    </row>
    <row r="3" spans="1:11" x14ac:dyDescent="0.35">
      <c r="A3" t="s">
        <v>1</v>
      </c>
      <c r="B3">
        <v>255</v>
      </c>
      <c r="C3">
        <v>237</v>
      </c>
      <c r="D3">
        <v>0</v>
      </c>
      <c r="F3" s="1">
        <f t="shared" ref="F3:F7" si="2">B3/255</f>
        <v>1</v>
      </c>
      <c r="G3" s="1">
        <f t="shared" si="0"/>
        <v>0.92941176470588238</v>
      </c>
      <c r="H3" s="1">
        <f t="shared" si="1"/>
        <v>0</v>
      </c>
      <c r="J3" s="2">
        <v>0.2</v>
      </c>
    </row>
    <row r="4" spans="1:11" x14ac:dyDescent="0.35">
      <c r="A4" t="s">
        <v>2</v>
      </c>
      <c r="B4">
        <v>0</v>
      </c>
      <c r="C4">
        <v>181</v>
      </c>
      <c r="D4">
        <v>0</v>
      </c>
      <c r="F4" s="1">
        <f t="shared" si="2"/>
        <v>0</v>
      </c>
      <c r="G4" s="1">
        <f t="shared" si="0"/>
        <v>0.70980392156862748</v>
      </c>
      <c r="H4" s="1">
        <f t="shared" si="1"/>
        <v>0</v>
      </c>
      <c r="J4" s="2">
        <v>0.05</v>
      </c>
    </row>
    <row r="5" spans="1:11" x14ac:dyDescent="0.35">
      <c r="A5" t="s">
        <v>3</v>
      </c>
      <c r="B5">
        <v>0</v>
      </c>
      <c r="C5">
        <v>237</v>
      </c>
      <c r="D5">
        <v>255</v>
      </c>
      <c r="F5" s="1">
        <f t="shared" si="2"/>
        <v>0</v>
      </c>
      <c r="G5" s="1">
        <f t="shared" si="0"/>
        <v>0.92941176470588238</v>
      </c>
      <c r="H5" s="1">
        <f t="shared" si="1"/>
        <v>1</v>
      </c>
      <c r="J5" s="2">
        <v>0.05</v>
      </c>
    </row>
    <row r="6" spans="1:11" x14ac:dyDescent="0.35">
      <c r="A6" t="s">
        <v>4</v>
      </c>
      <c r="B6">
        <v>255</v>
      </c>
      <c r="C6">
        <v>0</v>
      </c>
      <c r="D6">
        <v>171</v>
      </c>
      <c r="F6" s="1">
        <f t="shared" si="2"/>
        <v>1</v>
      </c>
      <c r="G6" s="1">
        <f t="shared" si="0"/>
        <v>0</v>
      </c>
      <c r="H6" s="1">
        <f t="shared" si="1"/>
        <v>0.6705882352941176</v>
      </c>
      <c r="J6" s="2">
        <v>0.05</v>
      </c>
    </row>
    <row r="7" spans="1:11" x14ac:dyDescent="0.35">
      <c r="A7" t="s">
        <v>5</v>
      </c>
      <c r="B7">
        <v>0</v>
      </c>
      <c r="C7">
        <v>71</v>
      </c>
      <c r="D7">
        <v>171</v>
      </c>
      <c r="F7" s="1">
        <f t="shared" si="2"/>
        <v>0</v>
      </c>
      <c r="G7" s="1">
        <f t="shared" si="0"/>
        <v>0.27843137254901962</v>
      </c>
      <c r="H7" s="1">
        <f t="shared" si="1"/>
        <v>0.6705882352941176</v>
      </c>
      <c r="J7" s="2">
        <v>0.05</v>
      </c>
    </row>
    <row r="8" spans="1:11" x14ac:dyDescent="0.35">
      <c r="J8">
        <f>SUM(J2:J7)</f>
        <v>1.0000000000000002</v>
      </c>
    </row>
    <row r="9" spans="1:11" x14ac:dyDescent="0.35">
      <c r="I9" t="s">
        <v>9</v>
      </c>
      <c r="J9" t="s">
        <v>10</v>
      </c>
      <c r="K9" t="s">
        <v>11</v>
      </c>
    </row>
    <row r="10" spans="1:11" x14ac:dyDescent="0.35">
      <c r="H10" t="s">
        <v>12</v>
      </c>
      <c r="I10">
        <f>SUMPRODUCT(F2:F7,$J2:$J7)</f>
        <v>0.85000000000000009</v>
      </c>
      <c r="J10">
        <f t="shared" ref="J10:K10" si="3">SUMPRODUCT(G2:G7,$J2:$J7)</f>
        <v>0.28176470588235297</v>
      </c>
      <c r="K10">
        <f t="shared" si="3"/>
        <v>0.11705882352941177</v>
      </c>
    </row>
    <row r="12" spans="1:11" x14ac:dyDescent="0.35">
      <c r="I12">
        <f>I10*255</f>
        <v>216.75000000000003</v>
      </c>
      <c r="J12">
        <f t="shared" ref="J12:K12" si="4">J10*255</f>
        <v>71.850000000000009</v>
      </c>
      <c r="K12">
        <f t="shared" si="4"/>
        <v>29.85</v>
      </c>
    </row>
    <row r="14" spans="1:11" x14ac:dyDescent="0.35">
      <c r="I14">
        <v>226</v>
      </c>
      <c r="J14">
        <v>166</v>
      </c>
      <c r="K14">
        <v>56</v>
      </c>
    </row>
    <row r="16" spans="1:11" x14ac:dyDescent="0.35">
      <c r="I16">
        <f>SUM((I14-I12)^2,(J14-J12)^2,(K14-K12)^2)</f>
        <v>9633.6074999999983</v>
      </c>
    </row>
    <row r="20" spans="5:9" x14ac:dyDescent="0.35">
      <c r="F20" t="s">
        <v>14</v>
      </c>
      <c r="G20" t="s">
        <v>14</v>
      </c>
      <c r="H20" t="s">
        <v>14</v>
      </c>
      <c r="I20" t="s">
        <v>14</v>
      </c>
    </row>
    <row r="21" spans="5:9" x14ac:dyDescent="0.35">
      <c r="E21" t="s">
        <v>0</v>
      </c>
    </row>
    <row r="22" spans="5:9" x14ac:dyDescent="0.35">
      <c r="E22" t="s">
        <v>1</v>
      </c>
    </row>
    <row r="23" spans="5:9" x14ac:dyDescent="0.35">
      <c r="E23" t="s">
        <v>2</v>
      </c>
    </row>
    <row r="24" spans="5:9" x14ac:dyDescent="0.35">
      <c r="E24" t="s">
        <v>3</v>
      </c>
    </row>
    <row r="25" spans="5:9" x14ac:dyDescent="0.35">
      <c r="E25" t="s">
        <v>4</v>
      </c>
    </row>
    <row r="26" spans="5:9" x14ac:dyDescent="0.35">
      <c r="E2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2023-05-08T22:54:51Z</dcterms:modified>
</cp:coreProperties>
</file>